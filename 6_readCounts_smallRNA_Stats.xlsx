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fa50496029532f5/Documents/5 東京聖栄大学/10 投稿/2025 miRNA3000steps/データ/"/>
    </mc:Choice>
  </mc:AlternateContent>
  <xr:revisionPtr revIDLastSave="5" documentId="13_ncr:1_{9B5E4376-9278-4A6C-B7AE-B9584D1035C8}" xr6:coauthVersionLast="47" xr6:coauthVersionMax="47" xr10:uidLastSave="{01F5ACF4-A370-4576-BFF0-F84760D2B96D}"/>
  <bookViews>
    <workbookView xWindow="-110" yWindow="-110" windowWidth="19420" windowHeight="1150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2" l="1"/>
  <c r="L30" i="2"/>
  <c r="M30" i="2"/>
  <c r="N30" i="2"/>
  <c r="O30" i="2"/>
  <c r="P30" i="2"/>
  <c r="K33" i="2"/>
  <c r="L33" i="2"/>
  <c r="M33" i="2"/>
  <c r="N33" i="2"/>
  <c r="O33" i="2"/>
  <c r="P33" i="2"/>
  <c r="J33" i="2"/>
  <c r="Q33" i="2" s="1"/>
  <c r="J30" i="2"/>
  <c r="Q30" i="2" s="1"/>
  <c r="C33" i="2"/>
  <c r="D33" i="2"/>
  <c r="E33" i="2"/>
  <c r="F33" i="2"/>
  <c r="G33" i="2"/>
  <c r="H33" i="2"/>
  <c r="B33" i="2"/>
  <c r="I33" i="2" s="1"/>
  <c r="C30" i="2"/>
  <c r="D30" i="2"/>
  <c r="E30" i="2"/>
  <c r="I30" i="2" s="1"/>
  <c r="F30" i="2"/>
  <c r="G30" i="2"/>
  <c r="H30" i="2"/>
  <c r="B30" i="2"/>
  <c r="P32" i="2"/>
  <c r="O32" i="2"/>
  <c r="N32" i="2"/>
  <c r="M32" i="2"/>
  <c r="L32" i="2"/>
  <c r="K32" i="2"/>
  <c r="J32" i="2"/>
  <c r="Q32" i="2" s="1"/>
  <c r="C32" i="2"/>
  <c r="D32" i="2"/>
  <c r="E32" i="2"/>
  <c r="F32" i="2"/>
  <c r="G32" i="2"/>
  <c r="H32" i="2"/>
  <c r="B32" i="2"/>
  <c r="I32" i="2" s="1"/>
  <c r="P31" i="2"/>
  <c r="O31" i="2"/>
  <c r="N31" i="2"/>
  <c r="M31" i="2"/>
  <c r="L31" i="2"/>
  <c r="K31" i="2"/>
  <c r="J31" i="2"/>
  <c r="Q31" i="2" s="1"/>
  <c r="H31" i="2"/>
  <c r="C31" i="2"/>
  <c r="D31" i="2"/>
  <c r="E31" i="2"/>
  <c r="F31" i="2"/>
  <c r="G31" i="2"/>
  <c r="B31" i="2"/>
  <c r="I31" i="2" s="1"/>
  <c r="K29" i="2"/>
  <c r="L29" i="2"/>
  <c r="M29" i="2"/>
  <c r="N29" i="2"/>
  <c r="O29" i="2"/>
  <c r="P29" i="2"/>
  <c r="J29" i="2"/>
  <c r="Q29" i="2" s="1"/>
  <c r="C29" i="2"/>
  <c r="D29" i="2"/>
  <c r="E29" i="2"/>
  <c r="F29" i="2"/>
  <c r="G29" i="2"/>
  <c r="H29" i="2"/>
  <c r="B29" i="2"/>
  <c r="I2" i="2"/>
  <c r="Q2" i="2"/>
  <c r="I29" i="2" l="1"/>
</calcChain>
</file>

<file path=xl/sharedStrings.xml><?xml version="1.0" encoding="utf-8"?>
<sst xmlns="http://schemas.openxmlformats.org/spreadsheetml/2006/main" count="58" uniqueCount="45">
  <si>
    <t>Stage</t>
  </si>
  <si>
    <t>input</t>
  </si>
  <si>
    <t>successfully_clipped</t>
  </si>
  <si>
    <t>NA</t>
  </si>
  <si>
    <t>miRNA_sense</t>
  </si>
  <si>
    <t>miRNA_antisense</t>
  </si>
  <si>
    <t>miRNAprecursor_sense</t>
  </si>
  <si>
    <t>miRNAprecursor_antisense</t>
  </si>
  <si>
    <t>tRNA_sense</t>
  </si>
  <si>
    <t>tRNA_antisense</t>
  </si>
  <si>
    <t>piRNA_sense</t>
  </si>
  <si>
    <t>piRNA_antisense</t>
  </si>
  <si>
    <t>gencode_sense</t>
  </si>
  <si>
    <t>gencode_antisense</t>
  </si>
  <si>
    <t>circularRNA_antisense</t>
  </si>
  <si>
    <t>JW1_Pre</t>
    <phoneticPr fontId="2"/>
  </si>
  <si>
    <t>% miRNA</t>
    <phoneticPr fontId="2"/>
  </si>
  <si>
    <t>JW1_Post</t>
    <phoneticPr fontId="2"/>
  </si>
  <si>
    <t>14M~20M必要</t>
    <rPh sb="7" eb="9">
      <t>ヒツヨウ</t>
    </rPh>
    <phoneticPr fontId="2"/>
  </si>
  <si>
    <t>https://bmcgenomics.biomedcentral.com/articles/10.1186/1471-2164-15-423</t>
  </si>
  <si>
    <t xml:space="preserve">    genome</t>
    <phoneticPr fontId="2"/>
  </si>
  <si>
    <t xml:space="preserve">    not_mapped_to_genome_or_libs</t>
    <phoneticPr fontId="2"/>
  </si>
  <si>
    <t xml:space="preserve">  failed_quality_filter</t>
    <phoneticPr fontId="2"/>
  </si>
  <si>
    <t xml:space="preserve">  failed_homopolymer_filter</t>
    <phoneticPr fontId="2"/>
  </si>
  <si>
    <t xml:space="preserve">  calibrator</t>
    <phoneticPr fontId="2"/>
  </si>
  <si>
    <t xml:space="preserve">  UniVec_contaminants</t>
    <phoneticPr fontId="2"/>
  </si>
  <si>
    <t xml:space="preserve">  rRNA</t>
    <phoneticPr fontId="2"/>
  </si>
  <si>
    <t xml:space="preserve">  reads_used_for_alignment</t>
    <phoneticPr fontId="2"/>
  </si>
  <si>
    <t>% tRNA</t>
    <phoneticPr fontId="2"/>
  </si>
  <si>
    <t>% piRNA</t>
    <phoneticPr fontId="2"/>
  </si>
  <si>
    <t>circularRNA_sense</t>
    <phoneticPr fontId="2"/>
  </si>
  <si>
    <t>% circularRNA</t>
    <phoneticPr fontId="2"/>
  </si>
  <si>
    <t>% longRNA (gencode)</t>
    <phoneticPr fontId="2"/>
  </si>
  <si>
    <t>JW2_Pre</t>
  </si>
  <si>
    <t>JW3_Pre</t>
  </si>
  <si>
    <t>JW4_Pre</t>
  </si>
  <si>
    <t>JW5_Pre</t>
  </si>
  <si>
    <t>JW6_Pre</t>
  </si>
  <si>
    <t>JW7_Pre</t>
  </si>
  <si>
    <t>JW2_Post</t>
  </si>
  <si>
    <t>JW3_Post</t>
  </si>
  <si>
    <t>JW4_Post</t>
  </si>
  <si>
    <t>JW5_Post</t>
  </si>
  <si>
    <t>JW6_Post</t>
  </si>
  <si>
    <t>JW7_Post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</si>
</sst>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.5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38" fontId="0" fillId="0" borderId="0" xfId="1" applyFont="1" applyAlignment="1"/>
    <xf numFmtId="0" fontId="3" fillId="0" borderId="0" xfId="0" applyFont="1"/>
    <xf numFmtId="176" fontId="0" fillId="0" borderId="0" xfId="1" applyNumberFormat="1" applyFont="1" applyAlignment="1"/>
    <xf numFmtId="176" fontId="0" fillId="0" borderId="0" xfId="0" applyNumberFormat="1"/>
    <xf numFmtId="0" fontId="4" fillId="0" borderId="0" xfId="0" applyFont="1"/>
    <xf numFmtId="38" fontId="3" fillId="0" borderId="0" xfId="1" applyFont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4B-4968-AA77-636CECB24BD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4B-4968-AA77-636CECB24BD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4B-4968-AA77-636CECB24BD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4B-4968-AA77-636CECB24BD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4B-4968-AA77-636CECB24BD2}"/>
              </c:ext>
            </c:extLst>
          </c:dPt>
          <c:cat>
            <c:strRef>
              <c:f>Sheet1!$A$29:$A$33</c:f>
              <c:strCache>
                <c:ptCount val="5"/>
                <c:pt idx="0">
                  <c:v>% miRNA</c:v>
                </c:pt>
                <c:pt idx="1">
                  <c:v>% longRNA (gencode)</c:v>
                </c:pt>
                <c:pt idx="2">
                  <c:v>% tRNA</c:v>
                </c:pt>
                <c:pt idx="3">
                  <c:v>% piRNA</c:v>
                </c:pt>
                <c:pt idx="4">
                  <c:v>% circularRNA</c:v>
                </c:pt>
              </c:strCache>
            </c:strRef>
          </c:cat>
          <c:val>
            <c:numRef>
              <c:f>Sheet1!$I$29:$I$33</c:f>
              <c:numCache>
                <c:formatCode>#,##0.0;[Red]\-#,##0.0</c:formatCode>
                <c:ptCount val="5"/>
                <c:pt idx="0">
                  <c:v>30.955647333557287</c:v>
                </c:pt>
                <c:pt idx="1">
                  <c:v>68.174343157097809</c:v>
                </c:pt>
                <c:pt idx="2">
                  <c:v>0.74786345062048432</c:v>
                </c:pt>
                <c:pt idx="3">
                  <c:v>0.12187938167195896</c:v>
                </c:pt>
                <c:pt idx="4">
                  <c:v>2.6667705246595128E-4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D-4A08-A1E5-9EBDC48AF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B9-4F88-8FD1-DD9120F49A9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B9-4F88-8FD1-DD9120F49A9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B9-4F88-8FD1-DD9120F49A9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B9-4F88-8FD1-DD9120F49A9A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B9-4F88-8FD1-DD9120F49A9A}"/>
              </c:ext>
            </c:extLst>
          </c:dPt>
          <c:cat>
            <c:strRef>
              <c:f>Sheet1!$A$29:$A$33</c:f>
              <c:strCache>
                <c:ptCount val="5"/>
                <c:pt idx="0">
                  <c:v>% miRNA</c:v>
                </c:pt>
                <c:pt idx="1">
                  <c:v>% longRNA (gencode)</c:v>
                </c:pt>
                <c:pt idx="2">
                  <c:v>% tRNA</c:v>
                </c:pt>
                <c:pt idx="3">
                  <c:v>% piRNA</c:v>
                </c:pt>
                <c:pt idx="4">
                  <c:v>% circularRNA</c:v>
                </c:pt>
              </c:strCache>
            </c:strRef>
          </c:cat>
          <c:val>
            <c:numRef>
              <c:f>Sheet1!$Q$29:$Q$33</c:f>
              <c:numCache>
                <c:formatCode>#,##0.0;[Red]\-#,##0.0</c:formatCode>
                <c:ptCount val="5"/>
                <c:pt idx="0">
                  <c:v>17.154325279283722</c:v>
                </c:pt>
                <c:pt idx="1">
                  <c:v>82.046197859218665</c:v>
                </c:pt>
                <c:pt idx="2">
                  <c:v>0.72083522773373743</c:v>
                </c:pt>
                <c:pt idx="3">
                  <c:v>7.8504368601321373E-2</c:v>
                </c:pt>
                <c:pt idx="4">
                  <c:v>1.3726516255535583E-4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D-4C4C-8498-3411EB66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63498</xdr:colOff>
      <xdr:row>33</xdr:row>
      <xdr:rowOff>53975</xdr:rowOff>
    </xdr:from>
    <xdr:to>
      <xdr:col>10</xdr:col>
      <xdr:colOff>203839</xdr:colOff>
      <xdr:row>52</xdr:row>
      <xdr:rowOff>48787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5FE9C4-0641-6026-48A0-2DA085C5FBD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391784</xdr:colOff>
      <xdr:row>33</xdr:row>
      <xdr:rowOff>84108</xdr:rowOff>
    </xdr:from>
    <xdr:to>
      <xdr:col>19</xdr:col>
      <xdr:colOff>20114</xdr:colOff>
      <xdr:row>52</xdr:row>
      <xdr:rowOff>78920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3B63D28-1EA7-6F6A-4507-663D1C5C52A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E11A-8C3A-41D2-8B05-7A3EE949C9C5}">
  <dimension ref="A1:S34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2" sqref="J12"/>
    </sheetView>
  </sheetViews>
  <sheetFormatPr defaultRowHeight="18"/>
  <cols>
    <col min="1" max="1" width="24.1640625" customWidth="1"/>
    <col min="2" max="17" width="10.1640625" bestFit="1" customWidth="1"/>
  </cols>
  <sheetData>
    <row r="1" spans="1:19">
      <c r="A1" t="s">
        <v>0</v>
      </c>
      <c r="B1" t="s">
        <v>15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J1" t="s">
        <v>17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9">
      <c r="A2" s="2" t="s">
        <v>1</v>
      </c>
      <c r="B2" s="1">
        <v>20982776</v>
      </c>
      <c r="C2" s="1">
        <v>20103748</v>
      </c>
      <c r="D2" s="1">
        <v>20671278</v>
      </c>
      <c r="E2" s="1">
        <v>20587921</v>
      </c>
      <c r="F2" s="1">
        <v>20841503</v>
      </c>
      <c r="G2" s="1">
        <v>20106095</v>
      </c>
      <c r="H2" s="1">
        <v>20636817</v>
      </c>
      <c r="I2" s="1">
        <f>AVERAGE(B2:H2)</f>
        <v>20561448.285714287</v>
      </c>
      <c r="J2" s="1">
        <v>25648441</v>
      </c>
      <c r="K2" s="1">
        <v>21343473</v>
      </c>
      <c r="L2" s="1">
        <v>24709695</v>
      </c>
      <c r="M2" s="1">
        <v>21416729</v>
      </c>
      <c r="N2" s="1">
        <v>23268143</v>
      </c>
      <c r="O2" s="1">
        <v>20299846</v>
      </c>
      <c r="P2" s="1">
        <v>20745800</v>
      </c>
      <c r="Q2" s="1">
        <f>AVERAGE(J2:P2)</f>
        <v>22490303.857142858</v>
      </c>
      <c r="S2" t="s">
        <v>18</v>
      </c>
    </row>
    <row r="3" spans="1:19">
      <c r="A3" s="2" t="s">
        <v>2</v>
      </c>
      <c r="B3" s="1">
        <v>19752745</v>
      </c>
      <c r="C3" s="1">
        <v>17703475</v>
      </c>
      <c r="D3" s="1">
        <v>14595221</v>
      </c>
      <c r="E3" s="1">
        <v>11508021</v>
      </c>
      <c r="F3" s="1">
        <v>5810252</v>
      </c>
      <c r="G3" s="1">
        <v>7112760</v>
      </c>
      <c r="H3" s="1">
        <v>12268707</v>
      </c>
      <c r="J3" s="1">
        <v>19622547</v>
      </c>
      <c r="K3" s="1">
        <v>20253168</v>
      </c>
      <c r="L3" s="1">
        <v>19265416</v>
      </c>
      <c r="M3" s="1">
        <v>13126885</v>
      </c>
      <c r="N3" s="1">
        <v>15358870</v>
      </c>
      <c r="O3" s="1">
        <v>20116552</v>
      </c>
      <c r="P3" s="1">
        <v>16289060</v>
      </c>
      <c r="S3" s="5" t="s">
        <v>19</v>
      </c>
    </row>
    <row r="4" spans="1:19">
      <c r="A4" s="2"/>
      <c r="B4" s="1"/>
      <c r="C4" s="1"/>
      <c r="D4" s="1"/>
      <c r="E4" s="1"/>
      <c r="F4" s="1"/>
      <c r="G4" s="1"/>
      <c r="H4" s="1"/>
      <c r="J4" s="1"/>
      <c r="K4" s="1"/>
      <c r="L4" s="1"/>
      <c r="M4" s="1"/>
      <c r="N4" s="1"/>
      <c r="O4" s="1"/>
      <c r="P4" s="1"/>
    </row>
    <row r="5" spans="1:19">
      <c r="A5" t="s">
        <v>22</v>
      </c>
      <c r="B5">
        <v>101462</v>
      </c>
      <c r="C5">
        <v>83659</v>
      </c>
      <c r="D5">
        <v>83113</v>
      </c>
      <c r="E5">
        <v>73333</v>
      </c>
      <c r="F5">
        <v>44079</v>
      </c>
      <c r="G5">
        <v>48848</v>
      </c>
      <c r="H5">
        <v>93280</v>
      </c>
      <c r="J5">
        <v>128723</v>
      </c>
      <c r="K5">
        <v>120824</v>
      </c>
      <c r="L5">
        <v>104343</v>
      </c>
      <c r="M5">
        <v>96082</v>
      </c>
      <c r="N5">
        <v>81162</v>
      </c>
      <c r="O5">
        <v>124565</v>
      </c>
      <c r="P5">
        <v>134251</v>
      </c>
    </row>
    <row r="6" spans="1:19">
      <c r="A6" t="s">
        <v>23</v>
      </c>
      <c r="B6">
        <v>1333</v>
      </c>
      <c r="C6">
        <v>1912</v>
      </c>
      <c r="D6">
        <v>5420</v>
      </c>
      <c r="E6">
        <v>6085</v>
      </c>
      <c r="F6">
        <v>3590</v>
      </c>
      <c r="G6">
        <v>3179</v>
      </c>
      <c r="H6">
        <v>8617</v>
      </c>
      <c r="J6">
        <v>3423</v>
      </c>
      <c r="K6">
        <v>1355</v>
      </c>
      <c r="L6">
        <v>3812</v>
      </c>
      <c r="M6">
        <v>4550</v>
      </c>
      <c r="N6">
        <v>4907</v>
      </c>
      <c r="O6">
        <v>513</v>
      </c>
      <c r="P6">
        <v>5998</v>
      </c>
    </row>
    <row r="7" spans="1:19">
      <c r="A7" t="s">
        <v>24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</row>
    <row r="8" spans="1:19">
      <c r="A8" t="s">
        <v>25</v>
      </c>
      <c r="B8">
        <v>84343</v>
      </c>
      <c r="C8">
        <v>97212</v>
      </c>
      <c r="D8">
        <v>236913</v>
      </c>
      <c r="E8">
        <v>379333</v>
      </c>
      <c r="F8">
        <v>430089</v>
      </c>
      <c r="G8">
        <v>474048</v>
      </c>
      <c r="H8">
        <v>246487</v>
      </c>
      <c r="J8">
        <v>168253</v>
      </c>
      <c r="K8">
        <v>44763</v>
      </c>
      <c r="L8">
        <v>104722</v>
      </c>
      <c r="M8">
        <v>170160</v>
      </c>
      <c r="N8">
        <v>199023</v>
      </c>
      <c r="O8">
        <v>15518</v>
      </c>
      <c r="P8">
        <v>253711</v>
      </c>
    </row>
    <row r="9" spans="1:19">
      <c r="A9" t="s">
        <v>26</v>
      </c>
      <c r="B9">
        <v>426285</v>
      </c>
      <c r="C9">
        <v>398839</v>
      </c>
      <c r="D9">
        <v>810356</v>
      </c>
      <c r="E9">
        <v>523582</v>
      </c>
      <c r="F9">
        <v>505168</v>
      </c>
      <c r="G9">
        <v>378394</v>
      </c>
      <c r="H9">
        <v>734406</v>
      </c>
      <c r="J9">
        <v>755562</v>
      </c>
      <c r="K9">
        <v>202441</v>
      </c>
      <c r="L9">
        <v>544127</v>
      </c>
      <c r="M9">
        <v>474263</v>
      </c>
      <c r="N9">
        <v>484691</v>
      </c>
      <c r="O9">
        <v>90632</v>
      </c>
      <c r="P9">
        <v>783581</v>
      </c>
    </row>
    <row r="10" spans="1:19" s="1" customFormat="1">
      <c r="A10" s="6" t="s">
        <v>27</v>
      </c>
      <c r="B10" s="1">
        <v>19139322</v>
      </c>
      <c r="C10" s="1">
        <v>17121853</v>
      </c>
      <c r="D10" s="1">
        <v>13459419</v>
      </c>
      <c r="E10" s="1">
        <v>10525688</v>
      </c>
      <c r="F10" s="1">
        <v>4827326</v>
      </c>
      <c r="G10" s="1">
        <v>6208291</v>
      </c>
      <c r="H10" s="1">
        <v>11185917</v>
      </c>
      <c r="J10" s="1">
        <v>18566586</v>
      </c>
      <c r="K10" s="1">
        <v>19883785</v>
      </c>
      <c r="L10" s="1">
        <v>18508412</v>
      </c>
      <c r="M10" s="1">
        <v>12381830</v>
      </c>
      <c r="N10" s="1">
        <v>14589087</v>
      </c>
      <c r="O10" s="1">
        <v>19885324</v>
      </c>
      <c r="P10" s="1">
        <v>15111519</v>
      </c>
    </row>
    <row r="12" spans="1:19">
      <c r="A12" t="s">
        <v>21</v>
      </c>
      <c r="B12" s="1">
        <v>2677299</v>
      </c>
      <c r="C12" s="1">
        <v>2576523</v>
      </c>
      <c r="D12" s="1">
        <v>5396054</v>
      </c>
      <c r="E12" s="1">
        <v>3568015</v>
      </c>
      <c r="F12" s="1">
        <v>2985889</v>
      </c>
      <c r="G12" s="1">
        <v>2558906</v>
      </c>
      <c r="H12" s="1">
        <v>5436270</v>
      </c>
      <c r="I12" s="1"/>
      <c r="J12" s="1">
        <v>4699645</v>
      </c>
      <c r="K12" s="1">
        <v>1527329</v>
      </c>
      <c r="L12" s="1">
        <v>3629377</v>
      </c>
      <c r="M12" s="1">
        <v>3381919</v>
      </c>
      <c r="N12" s="1">
        <v>3098381</v>
      </c>
      <c r="O12" s="1">
        <v>554134</v>
      </c>
      <c r="P12" s="1">
        <v>5480159</v>
      </c>
    </row>
    <row r="13" spans="1:19">
      <c r="A13" t="s">
        <v>20</v>
      </c>
      <c r="B13" s="1">
        <v>16462023</v>
      </c>
      <c r="C13" s="1">
        <v>14545330</v>
      </c>
      <c r="D13" s="1">
        <v>8063365</v>
      </c>
      <c r="E13" s="1">
        <v>6957673</v>
      </c>
      <c r="F13" s="1">
        <v>1841437</v>
      </c>
      <c r="G13" s="1">
        <v>3649385</v>
      </c>
      <c r="H13" s="1">
        <v>5749647</v>
      </c>
      <c r="I13" s="1"/>
      <c r="J13" s="1">
        <v>13866941</v>
      </c>
      <c r="K13" s="1">
        <v>18356456</v>
      </c>
      <c r="L13" s="1">
        <v>14879035</v>
      </c>
      <c r="M13" s="1">
        <v>8999911</v>
      </c>
      <c r="N13" s="1">
        <v>11490706</v>
      </c>
      <c r="O13" s="1">
        <v>19331190</v>
      </c>
      <c r="P13" s="1">
        <v>9631360</v>
      </c>
    </row>
    <row r="14" spans="1:19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9">
      <c r="A15" s="2" t="s">
        <v>4</v>
      </c>
      <c r="B15" s="1">
        <v>328076</v>
      </c>
      <c r="C15" s="1">
        <v>1573136</v>
      </c>
      <c r="D15" s="1">
        <v>1346785</v>
      </c>
      <c r="E15" s="1">
        <v>2418522</v>
      </c>
      <c r="F15" s="1">
        <v>933341</v>
      </c>
      <c r="G15" s="1">
        <v>1626586</v>
      </c>
      <c r="H15" s="1">
        <v>2023943</v>
      </c>
      <c r="I15" s="1"/>
      <c r="J15" s="1">
        <v>1248494</v>
      </c>
      <c r="K15" s="1">
        <v>760866</v>
      </c>
      <c r="L15" s="1">
        <v>1880714</v>
      </c>
      <c r="M15" s="1">
        <v>2640520</v>
      </c>
      <c r="N15" s="1">
        <v>3413961</v>
      </c>
      <c r="O15" s="1">
        <v>496630</v>
      </c>
      <c r="P15" s="1">
        <v>2674443</v>
      </c>
    </row>
    <row r="16" spans="1:19">
      <c r="A16" t="s">
        <v>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5</v>
      </c>
      <c r="H16" s="1">
        <v>0</v>
      </c>
      <c r="I16" s="1"/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7">
      <c r="A17" t="s">
        <v>6</v>
      </c>
      <c r="B17" s="1">
        <v>1050</v>
      </c>
      <c r="C17" s="1">
        <v>4922</v>
      </c>
      <c r="D17" s="1">
        <v>4896</v>
      </c>
      <c r="E17" s="1">
        <v>9426</v>
      </c>
      <c r="F17" s="1">
        <v>3125</v>
      </c>
      <c r="G17" s="1">
        <v>6299</v>
      </c>
      <c r="H17" s="1">
        <v>4459</v>
      </c>
      <c r="I17" s="1"/>
      <c r="J17" s="1">
        <v>3865</v>
      </c>
      <c r="K17" s="1">
        <v>2768</v>
      </c>
      <c r="L17" s="1">
        <v>6807</v>
      </c>
      <c r="M17" s="1">
        <v>10353</v>
      </c>
      <c r="N17" s="1">
        <v>12490</v>
      </c>
      <c r="O17" s="1">
        <v>1833</v>
      </c>
      <c r="P17" s="1">
        <v>7674</v>
      </c>
    </row>
    <row r="18" spans="1:17">
      <c r="A18" t="s">
        <v>7</v>
      </c>
      <c r="B18" s="1">
        <v>42</v>
      </c>
      <c r="C18" s="1">
        <v>71</v>
      </c>
      <c r="D18" s="1">
        <v>73</v>
      </c>
      <c r="E18" s="1">
        <v>91</v>
      </c>
      <c r="F18" s="1">
        <v>92</v>
      </c>
      <c r="G18" s="1">
        <v>181</v>
      </c>
      <c r="H18" s="1">
        <v>103</v>
      </c>
      <c r="I18" s="1"/>
      <c r="J18" s="1">
        <v>150</v>
      </c>
      <c r="K18" s="1">
        <v>71</v>
      </c>
      <c r="L18" s="1">
        <v>86</v>
      </c>
      <c r="M18" s="1">
        <v>143</v>
      </c>
      <c r="N18" s="1">
        <v>172</v>
      </c>
      <c r="O18" s="1">
        <v>33</v>
      </c>
      <c r="P18" s="1">
        <v>174</v>
      </c>
    </row>
    <row r="19" spans="1:17">
      <c r="A19" t="s">
        <v>8</v>
      </c>
      <c r="B19" s="1">
        <v>79218</v>
      </c>
      <c r="C19" s="1">
        <v>63847</v>
      </c>
      <c r="D19" s="1">
        <v>72628</v>
      </c>
      <c r="E19" s="1">
        <v>54880</v>
      </c>
      <c r="F19" s="1">
        <v>14375</v>
      </c>
      <c r="G19" s="1">
        <v>15519</v>
      </c>
      <c r="H19" s="1">
        <v>57666</v>
      </c>
      <c r="I19" s="1"/>
      <c r="J19" s="1">
        <v>60768</v>
      </c>
      <c r="K19" s="1">
        <v>52467</v>
      </c>
      <c r="L19" s="1">
        <v>78653</v>
      </c>
      <c r="M19" s="1">
        <v>52478</v>
      </c>
      <c r="N19" s="1">
        <v>42561</v>
      </c>
      <c r="O19" s="1">
        <v>48944</v>
      </c>
      <c r="P19" s="1">
        <v>228044</v>
      </c>
    </row>
    <row r="20" spans="1:17">
      <c r="A20" t="s">
        <v>9</v>
      </c>
      <c r="B20" s="1">
        <v>0</v>
      </c>
      <c r="C20" s="1">
        <v>0</v>
      </c>
      <c r="D20" s="1">
        <v>6</v>
      </c>
      <c r="E20" s="1">
        <v>17</v>
      </c>
      <c r="F20" s="1">
        <v>0</v>
      </c>
      <c r="G20" s="1">
        <v>4</v>
      </c>
      <c r="H20" s="1">
        <v>15</v>
      </c>
      <c r="I20" s="1"/>
      <c r="J20" s="1">
        <v>9</v>
      </c>
      <c r="K20" s="1">
        <v>26</v>
      </c>
      <c r="L20" s="1">
        <v>9</v>
      </c>
      <c r="M20" s="1">
        <v>0</v>
      </c>
      <c r="N20" s="1">
        <v>0</v>
      </c>
      <c r="O20" s="1">
        <v>0</v>
      </c>
      <c r="P20" s="1">
        <v>0</v>
      </c>
    </row>
    <row r="21" spans="1:17">
      <c r="A21" t="s">
        <v>10</v>
      </c>
      <c r="B21" s="1">
        <v>10524</v>
      </c>
      <c r="C21" s="1">
        <v>7779</v>
      </c>
      <c r="D21" s="1">
        <v>5840</v>
      </c>
      <c r="E21" s="1">
        <v>6312</v>
      </c>
      <c r="F21" s="1">
        <v>2590</v>
      </c>
      <c r="G21" s="1">
        <v>9623</v>
      </c>
      <c r="H21" s="1">
        <v>5287</v>
      </c>
      <c r="I21" s="1"/>
      <c r="J21" s="1">
        <v>16300</v>
      </c>
      <c r="K21" s="1">
        <v>10347</v>
      </c>
      <c r="L21" s="1">
        <v>9246</v>
      </c>
      <c r="M21" s="1">
        <v>7755</v>
      </c>
      <c r="N21" s="1">
        <v>8819</v>
      </c>
      <c r="O21" s="1">
        <v>8000</v>
      </c>
      <c r="P21" s="1">
        <v>8099</v>
      </c>
    </row>
    <row r="22" spans="1:17">
      <c r="A22" t="s">
        <v>11</v>
      </c>
      <c r="B22" s="1">
        <v>11</v>
      </c>
      <c r="C22" s="1">
        <v>13</v>
      </c>
      <c r="D22" s="1">
        <v>7</v>
      </c>
      <c r="E22" s="1">
        <v>36</v>
      </c>
      <c r="F22" s="1">
        <v>20</v>
      </c>
      <c r="G22" s="1">
        <v>10</v>
      </c>
      <c r="H22" s="1">
        <v>75</v>
      </c>
      <c r="I22" s="1"/>
      <c r="J22" s="1">
        <v>305</v>
      </c>
      <c r="K22" s="1">
        <v>6</v>
      </c>
      <c r="L22" s="1">
        <v>12</v>
      </c>
      <c r="M22" s="1">
        <v>2</v>
      </c>
      <c r="N22" s="1">
        <v>649</v>
      </c>
      <c r="O22" s="1">
        <v>7</v>
      </c>
      <c r="P22" s="1">
        <v>12</v>
      </c>
    </row>
    <row r="23" spans="1:17">
      <c r="A23" t="s">
        <v>12</v>
      </c>
      <c r="B23" s="1">
        <v>15869498</v>
      </c>
      <c r="C23" s="1">
        <v>12602667</v>
      </c>
      <c r="D23" s="1">
        <v>6153117</v>
      </c>
      <c r="E23" s="1">
        <v>4062302</v>
      </c>
      <c r="F23" s="1">
        <v>541630</v>
      </c>
      <c r="G23" s="1">
        <v>1675896</v>
      </c>
      <c r="H23" s="1">
        <v>3032317</v>
      </c>
      <c r="I23" s="1"/>
      <c r="J23" s="1">
        <v>12096077</v>
      </c>
      <c r="K23" s="1">
        <v>17389486</v>
      </c>
      <c r="L23" s="1">
        <v>12546291</v>
      </c>
      <c r="M23" s="1">
        <v>5935449</v>
      </c>
      <c r="N23" s="1">
        <v>7622048</v>
      </c>
      <c r="O23" s="1">
        <v>18719410</v>
      </c>
      <c r="P23" s="1">
        <v>6060988</v>
      </c>
    </row>
    <row r="24" spans="1:17">
      <c r="A24" t="s">
        <v>13</v>
      </c>
      <c r="B24" s="1">
        <v>15268</v>
      </c>
      <c r="C24" s="1">
        <v>26189</v>
      </c>
      <c r="D24" s="1">
        <v>45096</v>
      </c>
      <c r="E24" s="1">
        <v>34375</v>
      </c>
      <c r="F24" s="1">
        <v>34059</v>
      </c>
      <c r="G24" s="1">
        <v>26146</v>
      </c>
      <c r="H24" s="1">
        <v>52327</v>
      </c>
      <c r="I24" s="1"/>
      <c r="J24" s="1">
        <v>38086</v>
      </c>
      <c r="K24" s="1">
        <v>10628</v>
      </c>
      <c r="L24" s="1">
        <v>30425</v>
      </c>
      <c r="M24" s="1">
        <v>31708</v>
      </c>
      <c r="N24" s="1">
        <v>30290</v>
      </c>
      <c r="O24" s="1">
        <v>3857</v>
      </c>
      <c r="P24" s="1">
        <v>52134</v>
      </c>
    </row>
    <row r="25" spans="1:17">
      <c r="A25" t="s">
        <v>30</v>
      </c>
      <c r="B25" s="1">
        <v>0</v>
      </c>
      <c r="C25" s="1">
        <v>1</v>
      </c>
      <c r="D25" s="1">
        <v>9</v>
      </c>
      <c r="E25" s="1">
        <v>0</v>
      </c>
      <c r="F25" s="1">
        <v>0</v>
      </c>
      <c r="G25" s="1">
        <v>12</v>
      </c>
      <c r="H25" s="1">
        <v>0</v>
      </c>
      <c r="I25" s="1"/>
      <c r="J25" s="1">
        <v>7</v>
      </c>
      <c r="K25" s="1">
        <v>0</v>
      </c>
      <c r="L25" s="1">
        <v>1</v>
      </c>
      <c r="M25" s="1">
        <v>5</v>
      </c>
      <c r="N25" s="1">
        <v>0</v>
      </c>
      <c r="O25" s="1">
        <v>0</v>
      </c>
      <c r="P25" s="1">
        <v>1</v>
      </c>
    </row>
    <row r="26" spans="1:17">
      <c r="A26" t="s">
        <v>14</v>
      </c>
      <c r="B26" s="1">
        <v>2</v>
      </c>
      <c r="C26" s="1">
        <v>6</v>
      </c>
      <c r="D26" s="1">
        <v>2</v>
      </c>
      <c r="E26" s="1">
        <v>14</v>
      </c>
      <c r="F26" s="1">
        <v>7</v>
      </c>
      <c r="G26" s="1">
        <v>20</v>
      </c>
      <c r="H26" s="1">
        <v>2</v>
      </c>
      <c r="I26" s="1"/>
      <c r="J26" s="1">
        <v>28</v>
      </c>
      <c r="K26" s="1">
        <v>5</v>
      </c>
      <c r="L26" s="1">
        <v>10</v>
      </c>
      <c r="M26" s="1">
        <v>11</v>
      </c>
      <c r="N26" s="1">
        <v>24</v>
      </c>
      <c r="O26" s="1">
        <v>4</v>
      </c>
      <c r="P26" s="1">
        <v>15</v>
      </c>
    </row>
    <row r="27" spans="1:1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9" spans="1:17">
      <c r="A29" s="2" t="s">
        <v>16</v>
      </c>
      <c r="B29" s="3">
        <f>SUM(B15:B18)/SUM(B$15:B$26)*100</f>
        <v>2.0189786495559381</v>
      </c>
      <c r="C29" s="3">
        <f t="shared" ref="C29:H29" si="0">SUM(C15:C18)/SUM(C$15:C$26)*100</f>
        <v>11.052383103114018</v>
      </c>
      <c r="D29" s="3">
        <f t="shared" si="0"/>
        <v>17.719882875427395</v>
      </c>
      <c r="E29" s="3">
        <f t="shared" si="0"/>
        <v>36.866811671772211</v>
      </c>
      <c r="F29" s="3">
        <f t="shared" si="0"/>
        <v>61.243402764381507</v>
      </c>
      <c r="G29" s="3">
        <f t="shared" si="0"/>
        <v>48.598949915498643</v>
      </c>
      <c r="H29" s="3">
        <f t="shared" si="0"/>
        <v>39.189122355151298</v>
      </c>
      <c r="I29" s="4">
        <f>AVERAGE(B29:H29)</f>
        <v>30.955647333557287</v>
      </c>
      <c r="J29" s="3">
        <f>SUM(J15:J18)/SUM(J$15:J$26)*100</f>
        <v>9.3025900229863296</v>
      </c>
      <c r="K29" s="3">
        <f t="shared" ref="K29:P29" si="1">SUM(K15:K18)/SUM(K$15:K$26)*100</f>
        <v>4.190041296627415</v>
      </c>
      <c r="L29" s="3">
        <f t="shared" si="1"/>
        <v>12.971234559264841</v>
      </c>
      <c r="M29" s="3">
        <f t="shared" si="1"/>
        <v>30.547205345117963</v>
      </c>
      <c r="N29" s="3">
        <f t="shared" si="1"/>
        <v>30.784464020977779</v>
      </c>
      <c r="O29" s="3">
        <f t="shared" si="1"/>
        <v>2.5857321010660566</v>
      </c>
      <c r="P29" s="3">
        <f t="shared" si="1"/>
        <v>29.699009608945676</v>
      </c>
      <c r="Q29" s="4">
        <f>AVERAGE(J29:P29)</f>
        <v>17.154325279283722</v>
      </c>
    </row>
    <row r="30" spans="1:17">
      <c r="A30" s="2" t="s">
        <v>32</v>
      </c>
      <c r="B30" s="3">
        <f t="shared" ref="B30:H30" si="2">SUM(B23:B24)/SUM(B$15:B$26)*100</f>
        <v>97.430501771715598</v>
      </c>
      <c r="C30" s="3">
        <f t="shared" si="2"/>
        <v>88.445846103873677</v>
      </c>
      <c r="D30" s="3">
        <f t="shared" si="2"/>
        <v>81.251180611968948</v>
      </c>
      <c r="E30" s="3">
        <f t="shared" si="2"/>
        <v>62.203045107216468</v>
      </c>
      <c r="F30" s="3">
        <f t="shared" si="2"/>
        <v>37.64545633481751</v>
      </c>
      <c r="G30" s="3">
        <f t="shared" si="2"/>
        <v>50.651474376848981</v>
      </c>
      <c r="H30" s="3">
        <f t="shared" si="2"/>
        <v>59.592897793243452</v>
      </c>
      <c r="I30" s="4">
        <f>AVERAGE(B30:H30)</f>
        <v>68.174343157097809</v>
      </c>
      <c r="J30" s="3">
        <f t="shared" ref="J30:P30" si="3">SUM(J23:J24)/SUM(J$15:J$26)*100</f>
        <v>90.12242120502917</v>
      </c>
      <c r="K30" s="3">
        <f t="shared" si="3"/>
        <v>95.465128846904008</v>
      </c>
      <c r="L30" s="3">
        <f t="shared" si="3"/>
        <v>86.424522276755198</v>
      </c>
      <c r="M30" s="3">
        <f t="shared" si="3"/>
        <v>68.758532655237858</v>
      </c>
      <c r="N30" s="3">
        <f t="shared" si="3"/>
        <v>68.747896642659867</v>
      </c>
      <c r="O30" s="3">
        <f t="shared" si="3"/>
        <v>97.118838503680578</v>
      </c>
      <c r="P30" s="3">
        <f t="shared" si="3"/>
        <v>67.686044884263936</v>
      </c>
      <c r="Q30" s="4">
        <f>AVERAGE(J30:P30)</f>
        <v>82.046197859218665</v>
      </c>
    </row>
    <row r="31" spans="1:17">
      <c r="A31" s="2" t="s">
        <v>28</v>
      </c>
      <c r="B31" s="3">
        <f t="shared" ref="B31:H31" si="4">SUM(B19:B20)/SUM(B$15:B$26)*100</f>
        <v>0.48589003384448759</v>
      </c>
      <c r="C31" s="3">
        <f t="shared" si="4"/>
        <v>0.44715071073690466</v>
      </c>
      <c r="D31" s="3">
        <f t="shared" si="4"/>
        <v>0.95214511869304141</v>
      </c>
      <c r="E31" s="3">
        <f t="shared" si="4"/>
        <v>0.83354400829034425</v>
      </c>
      <c r="F31" s="3">
        <f t="shared" si="4"/>
        <v>0.9400100311331322</v>
      </c>
      <c r="G31" s="3">
        <f t="shared" si="4"/>
        <v>0.46195266435953208</v>
      </c>
      <c r="H31" s="3">
        <f t="shared" si="4"/>
        <v>1.114351587285948</v>
      </c>
      <c r="I31" s="4">
        <f>AVERAGE(B31:H31)</f>
        <v>0.74786345062048432</v>
      </c>
      <c r="J31" s="3">
        <f t="shared" ref="J31:P31" si="5">SUM(J19:J20)/SUM(J$15:J$26)*100</f>
        <v>0.45140075945724956</v>
      </c>
      <c r="K31" s="3">
        <f t="shared" si="5"/>
        <v>0.28800104462307158</v>
      </c>
      <c r="L31" s="3">
        <f t="shared" si="5"/>
        <v>0.54054856381698679</v>
      </c>
      <c r="M31" s="3">
        <f t="shared" si="5"/>
        <v>0.60469504601296264</v>
      </c>
      <c r="N31" s="3">
        <f t="shared" si="5"/>
        <v>0.38236408650640452</v>
      </c>
      <c r="O31" s="3">
        <f t="shared" si="5"/>
        <v>0.25387580232254031</v>
      </c>
      <c r="P31" s="3">
        <f t="shared" si="5"/>
        <v>2.5249612913969464</v>
      </c>
      <c r="Q31" s="4">
        <f>AVERAGE(J31:P31)</f>
        <v>0.72083522773373743</v>
      </c>
    </row>
    <row r="32" spans="1:17">
      <c r="A32" s="2" t="s">
        <v>29</v>
      </c>
      <c r="B32" s="3">
        <f>SUM(B21:B22)/SUM(B$15:B$26)*100</f>
        <v>6.4617277721624844E-2</v>
      </c>
      <c r="C32" s="3">
        <f t="shared" ref="C32:H32" si="6">SUM(C21:C22)/SUM(C$15:C$26)*100</f>
        <v>5.4571057967672115E-2</v>
      </c>
      <c r="D32" s="3">
        <f t="shared" si="6"/>
        <v>7.664719702891501E-2</v>
      </c>
      <c r="E32" s="3">
        <f t="shared" si="6"/>
        <v>9.6386639791374851E-2</v>
      </c>
      <c r="F32" s="3">
        <f t="shared" si="6"/>
        <v>0.17067312565269391</v>
      </c>
      <c r="G32" s="3">
        <f t="shared" si="6"/>
        <v>0.28667074765028489</v>
      </c>
      <c r="H32" s="3">
        <f t="shared" si="6"/>
        <v>0.10358962589114705</v>
      </c>
      <c r="I32" s="4">
        <f t="shared" ref="I32:I33" si="7">AVERAGE(B32:H32)</f>
        <v>0.12187938167195896</v>
      </c>
      <c r="J32" s="3">
        <f>SUM(J21:J22)/SUM(J$15:J$26)*100</f>
        <v>0.1233280617797461</v>
      </c>
      <c r="K32" s="3">
        <f t="shared" ref="K32:P32" si="8">SUM(K21:K22)/SUM(K$15:K$26)*100</f>
        <v>5.6801379516938644E-2</v>
      </c>
      <c r="L32" s="3">
        <f t="shared" si="8"/>
        <v>6.3619010498304943E-2</v>
      </c>
      <c r="M32" s="3">
        <f t="shared" si="8"/>
        <v>8.9382588359361109E-2</v>
      </c>
      <c r="N32" s="3">
        <f t="shared" si="8"/>
        <v>8.5059636076282003E-2</v>
      </c>
      <c r="O32" s="3">
        <f t="shared" si="8"/>
        <v>4.1532844663218792E-2</v>
      </c>
      <c r="P32" s="3">
        <f t="shared" si="8"/>
        <v>8.980705931539805E-2</v>
      </c>
      <c r="Q32" s="4">
        <f t="shared" ref="Q32:Q33" si="9">AVERAGE(J32:P32)</f>
        <v>7.8504368601321373E-2</v>
      </c>
    </row>
    <row r="33" spans="1:17">
      <c r="A33" s="2" t="s">
        <v>31</v>
      </c>
      <c r="B33" s="3">
        <f t="shared" ref="B33:H33" si="10">SUM(B25:B26)/SUM(B$15:B$26)*100</f>
        <v>1.2267162358163236E-5</v>
      </c>
      <c r="C33" s="3">
        <f t="shared" si="10"/>
        <v>4.9024307722498047E-5</v>
      </c>
      <c r="D33" s="3">
        <f t="shared" si="10"/>
        <v>1.4419688170310674E-4</v>
      </c>
      <c r="E33" s="3">
        <f t="shared" si="10"/>
        <v>2.1257292959660489E-4</v>
      </c>
      <c r="F33" s="3">
        <f t="shared" si="10"/>
        <v>4.5774401516048181E-4</v>
      </c>
      <c r="G33" s="3">
        <f t="shared" si="10"/>
        <v>9.5229564256297269E-4</v>
      </c>
      <c r="H33" s="3">
        <f t="shared" si="10"/>
        <v>3.8638428157831799E-5</v>
      </c>
      <c r="I33" s="4">
        <f t="shared" si="7"/>
        <v>2.6667705246595128E-4</v>
      </c>
      <c r="J33" s="3">
        <f t="shared" ref="J33:P33" si="11">SUM(J25:J26)/SUM(J$15:J$26)*100</f>
        <v>2.5995074750322875E-4</v>
      </c>
      <c r="K33" s="3">
        <f t="shared" si="11"/>
        <v>2.7432328560291046E-5</v>
      </c>
      <c r="L33" s="3">
        <f t="shared" si="11"/>
        <v>7.5589664666380891E-5</v>
      </c>
      <c r="M33" s="3">
        <f t="shared" si="11"/>
        <v>1.8436527185120247E-4</v>
      </c>
      <c r="N33" s="3">
        <f t="shared" si="11"/>
        <v>2.1561377966104433E-4</v>
      </c>
      <c r="O33" s="3">
        <f t="shared" si="11"/>
        <v>2.0748267597461617E-5</v>
      </c>
      <c r="P33" s="3">
        <f t="shared" si="11"/>
        <v>1.7715607804788175E-4</v>
      </c>
      <c r="Q33" s="4">
        <f t="shared" si="9"/>
        <v>1.3726516255535583E-4</v>
      </c>
    </row>
    <row r="34" spans="1:17">
      <c r="A34" s="2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Hirofumi Zempo</dc:creator>
  <cp:lastModifiedBy>Hirofumi Zempo</cp:lastModifiedBy>
  <dcterms:created xsi:type="dcterms:W3CDTF">2015-06-05T18:19:34Z</dcterms:created>
  <dcterms:modified xsi:type="dcterms:W3CDTF">2026-05-29T02:38:26Z</dcterms:modified>
</cp:coreProperties>
</file>